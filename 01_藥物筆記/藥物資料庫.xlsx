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藥物資料庫" sheetId="1" state="visible" r:id="rId3"/>
    <sheet name="使用說明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<sst xmlns="http://schemas.openxmlformats.org/spreadsheetml/2006/main" count="110" uniqueCount="103">
  <si>
    <t xml:space="preserve">動物體重 (kg)：</t>
  </si>
  <si>
    <t xml:space="preserve">＊藍色字＝可自行修改；輸入體重後，下方「計算劑量」欄會自動更新</t>
  </si>
  <si>
    <t xml:space="preserve">藥名</t>
  </si>
  <si>
    <t xml:space="preserve">分類</t>
  </si>
  <si>
    <t xml:space="preserve">適用情境</t>
  </si>
  <si>
    <t xml:space="preserve">劑量下限(mg/kg)</t>
  </si>
  <si>
    <t xml:space="preserve">劑量上限(mg/kg)</t>
  </si>
  <si>
    <t xml:space="preserve">給藥途徑</t>
  </si>
  <si>
    <t xml:space="preserve">頻率</t>
  </si>
  <si>
    <t xml:space="preserve">計算劑量下限(mg)</t>
  </si>
  <si>
    <t xml:space="preserve">計算劑量上限(mg)</t>
  </si>
  <si>
    <t xml:space="preserve">禁忌與副作用</t>
  </si>
  <si>
    <t xml:space="preserve">詳細筆記連結</t>
  </si>
  <si>
    <t xml:space="preserve">Carprofen</t>
  </si>
  <si>
    <t xml:space="preserve">止痛(NSAID)</t>
  </si>
  <si>
    <t xml:space="preserve">門診/術後</t>
  </si>
  <si>
    <t xml:space="preserve">PO/SC</t>
  </si>
  <si>
    <t xml:space="preserve">SID-BID</t>
  </si>
  <si>
    <t xml:space="preserve">禁用於腎/肝功能不全、GI潰瘍病史動物；避免與類固醇併用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</si>
  <si>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門診用藥</t>
    </r>
    <r>
      <rPr>
        <sz val="9"/>
        <color rgb="FF1155CC"/>
        <rFont val="Arial"/>
        <family val="0"/>
        <charset val="1"/>
      </rPr>
      <t xml:space="preserve">/Carprofen.md</t>
    </r>
  </si>
  <si>
    <t xml:space="preserve">Meloxicam</t>
  </si>
  <si>
    <t xml:space="preserve">SID</t>
  </si>
  <si>
    <t xml:space="preserve">貓需嚴格依體重給藥，長期使用需監控腎功能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</si>
  <si>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門診用藥</t>
    </r>
    <r>
      <rPr>
        <sz val="9"/>
        <color rgb="FF1155CC"/>
        <rFont val="Arial"/>
        <family val="0"/>
        <charset val="1"/>
      </rPr>
      <t xml:space="preserve">/Meloxicam.md</t>
    </r>
  </si>
  <si>
    <t xml:space="preserve">Buprenorphine</t>
  </si>
  <si>
    <t xml:space="preserve">止痛(鴉片類)</t>
  </si>
  <si>
    <t xml:space="preserve">手術/住院</t>
  </si>
  <si>
    <r>
      <rPr>
        <sz val="11"/>
        <rFont val="Arial"/>
        <family val="0"/>
        <charset val="1"/>
      </rPr>
      <t xml:space="preserve">IV/IM/SC/</t>
    </r>
    <r>
      <rPr>
        <sz val="11"/>
        <rFont val="Noto Sans CJK SC"/>
        <family val="2"/>
      </rPr>
      <t xml:space="preserve">頰黏膜</t>
    </r>
  </si>
  <si>
    <t xml:space="preserve">TID-QID</t>
  </si>
  <si>
    <t xml:space="preserve">呼吸抑制風險，需監測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</si>
  <si>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手術麻醉用藥</t>
    </r>
    <r>
      <rPr>
        <sz val="9"/>
        <color rgb="FF1155CC"/>
        <rFont val="Arial"/>
        <family val="0"/>
        <charset val="1"/>
      </rPr>
      <t xml:space="preserve">/Buprenorphine.md</t>
    </r>
  </si>
  <si>
    <t xml:space="preserve">Amoxicillin-Clavulanate</t>
  </si>
  <si>
    <t xml:space="preserve">抗生素</t>
  </si>
  <si>
    <t xml:space="preserve">門診/住院</t>
  </si>
  <si>
    <t xml:space="preserve">PO</t>
  </si>
  <si>
    <t xml:space="preserve">BID</t>
  </si>
  <si>
    <t xml:space="preserve">禁用於已知盤尼西林過敏動物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</si>
  <si>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門診用藥</t>
    </r>
    <r>
      <rPr>
        <sz val="9"/>
        <color rgb="FF1155CC"/>
        <rFont val="Arial"/>
        <family val="0"/>
        <charset val="1"/>
      </rPr>
      <t xml:space="preserve">/Amoxicillin-Clavulanate.md</t>
    </r>
  </si>
  <si>
    <t xml:space="preserve">Cefazolin</t>
  </si>
  <si>
    <t xml:space="preserve">抗生素(手術預防性)</t>
  </si>
  <si>
    <t xml:space="preserve">手術</t>
  </si>
  <si>
    <t xml:space="preserve">IV</t>
  </si>
  <si>
    <t xml:space="preserve">術前30分鐘, 術中每90分鐘追加</t>
  </si>
  <si>
    <t xml:space="preserve">腎功能不全需調整劑量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</si>
  <si>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手術麻醉用藥</t>
    </r>
    <r>
      <rPr>
        <sz val="9"/>
        <color rgb="FF1155CC"/>
        <rFont val="Arial"/>
        <family val="0"/>
        <charset val="1"/>
      </rPr>
      <t xml:space="preserve">/Cefazolin.md</t>
    </r>
  </si>
  <si>
    <t xml:space="preserve">Maropitant (Cerenia)</t>
  </si>
  <si>
    <t xml:space="preserve">止吐</t>
  </si>
  <si>
    <t xml:space="preserve">SC/PO</t>
  </si>
  <si>
    <t xml:space="preserve">小於16週齡幼犬貓避免使用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</si>
  <si>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住院用藥</t>
    </r>
    <r>
      <rPr>
        <sz val="9"/>
        <color rgb="FF1155CC"/>
        <rFont val="Arial"/>
        <family val="0"/>
        <charset val="1"/>
      </rPr>
      <t xml:space="preserve">/Maropitant.md</t>
    </r>
  </si>
  <si>
    <t xml:space="preserve">Dexmedetomidine</t>
  </si>
  <si>
    <t xml:space="preserve">鎮靜</t>
  </si>
  <si>
    <t xml:space="preserve">手術麻醉</t>
  </si>
  <si>
    <t xml:space="preserve">IV/IM</t>
  </si>
  <si>
    <t xml:space="preserve">單次</t>
  </si>
  <si>
    <t xml:space="preserve">心血管疾病動物慎用，會造成心搏過緩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</si>
  <si>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手術麻醉用藥</t>
    </r>
    <r>
      <rPr>
        <sz val="9"/>
        <color rgb="FF1155CC"/>
        <rFont val="Arial"/>
        <family val="0"/>
        <charset val="1"/>
      </rPr>
      <t xml:space="preserve">/Dexmedetomidine.md</t>
    </r>
  </si>
  <si>
    <t xml:space="preserve">Furosemide</t>
  </si>
  <si>
    <t xml:space="preserve">利尿劑</t>
  </si>
  <si>
    <t xml:space="preserve">住院</t>
  </si>
  <si>
    <t xml:space="preserve">IV/IM/PO</t>
  </si>
  <si>
    <r>
      <rPr>
        <sz val="11"/>
        <rFont val="Arial"/>
        <family val="0"/>
        <charset val="1"/>
      </rPr>
      <t xml:space="preserve">BID-QID (</t>
    </r>
    <r>
      <rPr>
        <sz val="11"/>
        <rFont val="Noto Sans CJK SC"/>
        <family val="2"/>
      </rPr>
      <t xml:space="preserve">急性可更頻繁</t>
    </r>
    <r>
      <rPr>
        <sz val="11"/>
        <rFont val="Arial"/>
        <family val="0"/>
        <charset val="1"/>
      </rPr>
      <t xml:space="preserve">)</t>
    </r>
  </si>
  <si>
    <t xml:space="preserve">注意電解質流失、脫水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</si>
  <si>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住院用藥</t>
    </r>
    <r>
      <rPr>
        <sz val="9"/>
        <color rgb="FF1155CC"/>
        <rFont val="Arial"/>
        <family val="0"/>
        <charset val="1"/>
      </rPr>
      <t xml:space="preserve">/Furosemide.md</t>
    </r>
  </si>
  <si>
    <t xml:space="preserve">Fentanyl</t>
  </si>
  <si>
    <t xml:space="preserve">止痛(鴉片類)/麻醉前用藥</t>
  </si>
  <si>
    <t xml:space="preserve">手術麻醉(Premed)</t>
  </si>
  <si>
    <t xml:space="preserve">單次(premed)；CRI另計 2-10 mcg/kg/h(犬)、1-4 mcg/kg/h(貓)</t>
  </si>
  <si>
    <t xml:space="preserve">呼吸抑制、心搏過緩風險；CRI速率非本欄計算範圍，需另外換算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</si>
  <si>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依類別用藥筆記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止痛用藥</t>
    </r>
    <r>
      <rPr>
        <sz val="9"/>
        <color rgb="FF1155CC"/>
        <rFont val="Arial"/>
        <family val="0"/>
        <charset val="1"/>
      </rPr>
      <t xml:space="preserve">/Fentanyl.md</t>
    </r>
  </si>
  <si>
    <t xml:space="preserve">Midazolam</t>
  </si>
  <si>
    <t xml:space="preserve">鎮靜(苯二氮平類)/麻醉前用藥</t>
  </si>
  <si>
    <t xml:space="preserve">IV/IM/SC</t>
  </si>
  <si>
    <t xml:space="preserve">單次(premed)</t>
  </si>
  <si>
    <t xml:space="preserve">常與opioid併用做neuroleptanalgesia；可用Flumazenil 0.01 mg/kg IV逆轉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</si>
  <si>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依類別用藥筆記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止痛用藥</t>
    </r>
    <r>
      <rPr>
        <sz val="9"/>
        <color rgb="FF1155CC"/>
        <rFont val="Arial"/>
        <family val="0"/>
        <charset val="1"/>
      </rPr>
      <t xml:space="preserve">/Midazolam.md</t>
    </r>
  </si>
  <si>
    <t xml:space="preserve">Alfaxalone (Alfaxan)</t>
  </si>
  <si>
    <t xml:space="preserve">麻醉誘導劑</t>
  </si>
  <si>
    <t xml:space="preserve">手術麻醉(Induction)</t>
  </si>
  <si>
    <r>
      <rPr>
        <sz val="11"/>
        <rFont val="Arial"/>
        <family val="0"/>
        <charset val="1"/>
      </rPr>
      <t xml:space="preserve">IV(</t>
    </r>
    <r>
      <rPr>
        <sz val="11"/>
        <rFont val="Noto Sans CJK SC"/>
        <family val="2"/>
      </rPr>
      <t xml:space="preserve">緩慢推注</t>
    </r>
    <r>
      <rPr>
        <sz val="11"/>
        <rFont val="Arial"/>
        <family val="0"/>
        <charset val="1"/>
      </rPr>
      <t xml:space="preserve">,&gt;60</t>
    </r>
    <r>
      <rPr>
        <sz val="11"/>
        <rFont val="Noto Sans CJK SC"/>
        <family val="2"/>
      </rPr>
      <t xml:space="preserve">秒</t>
    </r>
    <r>
      <rPr>
        <sz val="11"/>
        <rFont val="Arial"/>
        <family val="0"/>
        <charset val="1"/>
      </rPr>
      <t xml:space="preserve">)</t>
    </r>
  </si>
  <si>
    <t xml:space="preserve">單次(誘導)</t>
  </si>
  <si>
    <t xml:space="preserve">犬：premed後2mg/kg、未premed 3mg/kg；貓：約5mg/kg；個體差異大，需 to effect 給藥，年老/重症動物酌減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</si>
  <si>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依類別用藥筆記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止痛用藥</t>
    </r>
    <r>
      <rPr>
        <sz val="9"/>
        <color rgb="FF1155CC"/>
        <rFont val="Arial"/>
        <family val="0"/>
        <charset val="1"/>
      </rPr>
      <t xml:space="preserve">/Alfaxalone.md</t>
    </r>
  </si>
  <si>
    <t xml:space="preserve">Isoflurane</t>
  </si>
  <si>
    <t xml:space="preserve">吸入性麻醉維持</t>
  </si>
  <si>
    <t xml:space="preserve">手術麻醉(Maintenance)</t>
  </si>
  <si>
    <t xml:space="preserve">吸入</t>
  </si>
  <si>
    <t xml:space="preserve">持續</t>
  </si>
  <si>
    <t xml:space="preserve">⚠非mg/kg劑量，以吸入濃度(vol%)給予：MAC 犬約1.3%／貓約1.6%；維持濃度約1.5-2.5%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</si>
  <si>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依類別用藥筆記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止痛用藥</t>
    </r>
    <r>
      <rPr>
        <sz val="9"/>
        <color rgb="FF1155CC"/>
        <rFont val="Arial"/>
        <family val="0"/>
        <charset val="1"/>
      </rPr>
      <t xml:space="preserve">/Isoflurane.md</t>
    </r>
  </si>
  <si>
    <t xml:space="preserve">Panoquell-CA1 (Fuzapladib sodium)</t>
  </si>
  <si>
    <t xml:space="preserve">免疫調節劑(LFA-1抑制劑)</t>
  </si>
  <si>
    <t xml:space="preserve">住院(急性胰臟炎，僅限犬)</t>
  </si>
  <si>
    <t xml:space="preserve">IV bolus (15秒-1分鐘推注)</t>
  </si>
  <si>
    <t xml:space="preserve">SID x 3天(連續三天)</t>
  </si>
  <si>
    <t xml:space="preserve">僅犬適用(非貓)；常見副作用：厭食、消化道症狀、呼吸道症狀、肝病變、黃疸；蛋白結合率高，併用其他高蛋白結合藥物需留意；FDA為conditional approval階段</t>
  </si>
  <si>
    <r>
      <rPr>
        <sz val="9"/>
        <color rgb="FF1155CC"/>
        <rFont val="Arial"/>
        <family val="0"/>
        <charset val="1"/>
      </rPr>
      <t xml:space="preserve">01_</t>
    </r>
    <r>
      <rPr>
        <sz val="9"/>
        <color rgb="FF1155CC"/>
        <rFont val="Noto Sans CJK SC"/>
        <family val="2"/>
      </rPr>
      <t xml:space="preserve">藥物筆記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依類別用藥筆記</t>
    </r>
    <r>
      <rPr>
        <sz val="9"/>
        <color rgb="FF1155CC"/>
        <rFont val="Arial"/>
        <family val="0"/>
        <charset val="1"/>
      </rPr>
      <t xml:space="preserve">/</t>
    </r>
    <r>
      <rPr>
        <sz val="9"/>
        <color rgb="FF1155CC"/>
        <rFont val="Noto Sans CJK SC"/>
        <family val="2"/>
      </rPr>
      <t xml:space="preserve">腸胃用藥</t>
    </r>
    <r>
      <rPr>
        <sz val="9"/>
        <color rgb="FF1155CC"/>
        <rFont val="Arial"/>
        <family val="0"/>
        <charset val="1"/>
      </rPr>
      <t xml:space="preserve">/Panoquell-CA1_Fuzapladib.md</t>
    </r>
  </si>
  <si>
    <t xml:space="preserve">藥物資料庫 使用說明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</si>
  <si>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在「藥物資料庫」工作表 </t>
    </r>
    <r>
      <rPr>
        <sz val="11"/>
        <rFont val="Arial"/>
        <family val="0"/>
        <charset val="1"/>
      </rPr>
      <t xml:space="preserve">B1 </t>
    </r>
    <r>
      <rPr>
        <sz val="11"/>
        <rFont val="Noto Sans CJK SC"/>
        <family val="2"/>
      </rPr>
      <t xml:space="preserve">輸入這隻動物的體重（</t>
    </r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），下方所有藥物的「計算劑量」欄會自動依 </t>
    </r>
    <r>
      <rPr>
        <sz val="11"/>
        <rFont val="Arial"/>
        <family val="0"/>
        <charset val="1"/>
      </rPr>
      <t xml:space="preserve">mg/kg </t>
    </r>
    <r>
      <rPr>
        <sz val="11"/>
        <rFont val="Noto Sans CJK SC"/>
        <family val="2"/>
      </rPr>
      <t xml:space="preserve">換算。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</si>
  <si>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藍色數字＝可自行輸入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修改的欄位（體重、劑量上下限）；黑色數字＝自動計算結果，不要手動覆蓋。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</si>
  <si>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新增藥物：直接在資料表最下面新增一列，</t>
    </r>
    <r>
      <rPr>
        <sz val="11"/>
        <rFont val="Arial"/>
        <family val="0"/>
        <charset val="1"/>
      </rPr>
      <t xml:space="preserve">H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I</t>
    </r>
    <r>
      <rPr>
        <sz val="11"/>
        <rFont val="Noto Sans CJK SC"/>
        <family val="2"/>
      </rPr>
      <t xml:space="preserve">欄的公式用滑鼠往下拖曳複製即可（</t>
    </r>
    <r>
      <rPr>
        <sz val="11"/>
        <rFont val="Arial"/>
        <family val="0"/>
        <charset val="1"/>
      </rPr>
      <t xml:space="preserve">=$B$1*</t>
    </r>
    <r>
      <rPr>
        <sz val="11"/>
        <rFont val="Noto Sans CJK SC"/>
        <family val="2"/>
      </rPr>
      <t xml:space="preserve">對應列的劑量欄）。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</si>
  <si>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「詳細筆記連結」欄位對應 </t>
    </r>
    <r>
      <rPr>
        <sz val="11"/>
        <rFont val="Arial"/>
        <family val="0"/>
        <charset val="1"/>
      </rPr>
      <t xml:space="preserve">01_</t>
    </r>
    <r>
      <rPr>
        <sz val="11"/>
        <rFont val="Noto Sans CJK SC"/>
        <family val="2"/>
      </rPr>
      <t xml:space="preserve">藥物筆記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底下的心得筆記路徑，可在該路徑建立同名 </t>
    </r>
    <r>
      <rPr>
        <sz val="11"/>
        <rFont val="Arial"/>
        <family val="0"/>
        <charset val="1"/>
      </rPr>
      <t xml:space="preserve">.md </t>
    </r>
    <r>
      <rPr>
        <sz val="11"/>
        <rFont val="Noto Sans CJK SC"/>
        <family val="2"/>
      </rPr>
      <t xml:space="preserve">檔記錄使用心得與特殊 </t>
    </r>
    <r>
      <rPr>
        <sz val="11"/>
        <rFont val="Arial"/>
        <family val="0"/>
        <charset val="1"/>
      </rPr>
      <t xml:space="preserve">Case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</si>
  <si>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資料庫內容為初始範例劑量，僅供架構示範，正式使用前請以院內用藥規範與最新文獻核實每筆劑量。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</si>
</sst>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&quot; mg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sz val="11"/>
      <color rgb="FF000000"/>
      <name val="Arial"/>
      <family val="0"/>
      <charset val="1"/>
    </font>
    <font>
      <sz val="9"/>
      <name val="Noto Sans CJK SC"/>
      <family val="2"/>
      <charset val="1"/>
    </font>
    <font>
      <sz val="9"/>
      <color rgb="FF1155CC"/>
      <name val="Arial"/>
      <family val="0"/>
      <charset val="1"/>
    </font>
    <font>
      <sz val="9"/>
      <color rgb="FF1155CC"/>
      <name val="Noto Sans CJK SC"/>
      <family val="2"/>
    </font>
    <font>
      <sz val="11"/>
      <name val="Noto Sans CJK SC"/>
      <family val="2"/>
    </font>
    <font>
      <b val="true"/>
      <sz val="13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6" min="3" style="1" width="14"/>
    <col collapsed="false" customWidth="true" hidden="false" outlineLevel="0" max="7" min="7" style="1" width="20"/>
    <col collapsed="false" customWidth="true" hidden="false" outlineLevel="0" max="9" min="8" style="1" width="16"/>
    <col collapsed="false" customWidth="true" hidden="false" outlineLevel="0" max="10" min="10" style="1" width="38"/>
    <col collapsed="false" customWidth="true" hidden="false" outlineLevel="0" max="11" min="11" style="1" width="32"/>
  </cols>
  <sheetData>
    <row r="1" customFormat="false" ht="16.5" hidden="false" customHeight="true" outlineLevel="0" collapsed="false">
      <c r="A1" s="2" t="s">
        <v>0</v>
      </c>
      <c r="B1" s="3" t="n">
        <v>4.5</v>
      </c>
    </row>
    <row r="2" customFormat="false" ht="15" hidden="false" customHeight="true" outlineLevel="0" collapsed="false">
      <c r="A2" s="4" t="s">
        <v>1</v>
      </c>
    </row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customFormat="false" ht="26.25" hidden="false" customHeight="true" outlineLevel="0" collapsed="false">
      <c r="A5" s="6" t="s">
        <v>13</v>
      </c>
      <c r="B5" s="7" t="s">
        <v>14</v>
      </c>
      <c r="C5" s="7" t="s">
        <v>15</v>
      </c>
      <c r="D5" s="8" t="n">
        <v>2</v>
      </c>
      <c r="E5" s="8" t="n">
        <v>4.4</v>
      </c>
      <c r="F5" s="6" t="s">
        <v>16</v>
      </c>
      <c r="G5" s="6" t="s">
        <v>17</v>
      </c>
      <c r="H5" s="9" t="n">
        <f aca="false">$B$1*D5</f>
        <v>9</v>
      </c>
      <c r="I5" s="9" t="n">
        <f aca="false">$B$1*E5</f>
        <v>19.8</v>
      </c>
      <c r="J5" s="10" t="s">
        <v>18</v>
      </c>
      <c r="K5" s="11" t="s">
        <v>19</v>
      </c>
    </row>
    <row r="6" customFormat="false" ht="16.5" hidden="false" customHeight="true" outlineLevel="0" collapsed="false">
      <c r="A6" s="6" t="s">
        <v>20</v>
      </c>
      <c r="B6" s="7" t="s">
        <v>14</v>
      </c>
      <c r="C6" s="7" t="s">
        <v>15</v>
      </c>
      <c r="D6" s="8" t="n">
        <v>0.05</v>
      </c>
      <c r="E6" s="8" t="n">
        <v>0.1</v>
      </c>
      <c r="F6" s="6" t="s">
        <v>16</v>
      </c>
      <c r="G6" s="6" t="s">
        <v>21</v>
      </c>
      <c r="H6" s="9" t="n">
        <f aca="false">$B$1*D6</f>
        <v>0.225</v>
      </c>
      <c r="I6" s="9" t="n">
        <f aca="false">$B$1*E6</f>
        <v>0.45</v>
      </c>
      <c r="J6" s="10" t="s">
        <v>22</v>
      </c>
      <c r="K6" s="11" t="s">
        <v>23</v>
      </c>
    </row>
    <row r="7" customFormat="false" ht="16.5" hidden="false" customHeight="true" outlineLevel="0" collapsed="false">
      <c r="A7" s="6" t="s">
        <v>24</v>
      </c>
      <c r="B7" s="7" t="s">
        <v>25</v>
      </c>
      <c r="C7" s="7" t="s">
        <v>26</v>
      </c>
      <c r="D7" s="8" t="n">
        <v>0.01</v>
      </c>
      <c r="E7" s="8" t="n">
        <v>0.02</v>
      </c>
      <c r="F7" s="6" t="s">
        <v>27</v>
      </c>
      <c r="G7" s="6" t="s">
        <v>28</v>
      </c>
      <c r="H7" s="9" t="n">
        <f aca="false">$B$1*D7</f>
        <v>0.045</v>
      </c>
      <c r="I7" s="9" t="n">
        <f aca="false">$B$1*E7</f>
        <v>0.09</v>
      </c>
      <c r="J7" s="10" t="s">
        <v>29</v>
      </c>
      <c r="K7" s="11" t="s">
        <v>30</v>
      </c>
    </row>
    <row r="8" customFormat="false" ht="16.5" hidden="false" customHeight="true" outlineLevel="0" collapsed="false">
      <c r="A8" s="6" t="s">
        <v>31</v>
      </c>
      <c r="B8" s="7" t="s">
        <v>32</v>
      </c>
      <c r="C8" s="7" t="s">
        <v>33</v>
      </c>
      <c r="D8" s="8" t="n">
        <v>12.5</v>
      </c>
      <c r="E8" s="8" t="n">
        <v>25</v>
      </c>
      <c r="F8" s="6" t="s">
        <v>34</v>
      </c>
      <c r="G8" s="6" t="s">
        <v>35</v>
      </c>
      <c r="H8" s="9" t="n">
        <f aca="false">$B$1*D8</f>
        <v>56.25</v>
      </c>
      <c r="I8" s="9" t="n">
        <f aca="false">$B$1*E8</f>
        <v>112.5</v>
      </c>
      <c r="J8" s="10" t="s">
        <v>36</v>
      </c>
      <c r="K8" s="11" t="s">
        <v>37</v>
      </c>
    </row>
    <row r="9" customFormat="false" ht="16.5" hidden="false" customHeight="true" outlineLevel="0" collapsed="false">
      <c r="A9" s="6" t="s">
        <v>38</v>
      </c>
      <c r="B9" s="7" t="s">
        <v>39</v>
      </c>
      <c r="C9" s="7" t="s">
        <v>40</v>
      </c>
      <c r="D9" s="8" t="n">
        <v>22</v>
      </c>
      <c r="E9" s="8" t="n">
        <v>22</v>
      </c>
      <c r="F9" s="6" t="s">
        <v>41</v>
      </c>
      <c r="G9" s="7" t="s">
        <v>42</v>
      </c>
      <c r="H9" s="9" t="n">
        <f aca="false">$B$1*D9</f>
        <v>99</v>
      </c>
      <c r="I9" s="9" t="n">
        <f aca="false">$B$1*E9</f>
        <v>99</v>
      </c>
      <c r="J9" s="10" t="s">
        <v>43</v>
      </c>
      <c r="K9" s="11" t="s">
        <v>44</v>
      </c>
    </row>
    <row r="10" customFormat="false" ht="16.5" hidden="false" customHeight="true" outlineLevel="0" collapsed="false">
      <c r="A10" s="6" t="s">
        <v>45</v>
      </c>
      <c r="B10" s="7" t="s">
        <v>46</v>
      </c>
      <c r="C10" s="7" t="s">
        <v>33</v>
      </c>
      <c r="D10" s="8" t="n">
        <v>1</v>
      </c>
      <c r="E10" s="8" t="n">
        <v>1</v>
      </c>
      <c r="F10" s="6" t="s">
        <v>47</v>
      </c>
      <c r="G10" s="6" t="s">
        <v>21</v>
      </c>
      <c r="H10" s="9" t="n">
        <f aca="false">$B$1*D10</f>
        <v>4.5</v>
      </c>
      <c r="I10" s="9" t="n">
        <f aca="false">$B$1*E10</f>
        <v>4.5</v>
      </c>
      <c r="J10" s="10" t="s">
        <v>48</v>
      </c>
      <c r="K10" s="11" t="s">
        <v>49</v>
      </c>
    </row>
    <row r="11" customFormat="false" ht="15" hidden="false" customHeight="true" outlineLevel="0" collapsed="false">
      <c r="A11" s="6" t="s">
        <v>50</v>
      </c>
      <c r="B11" s="7" t="s">
        <v>51</v>
      </c>
      <c r="C11" s="7" t="s">
        <v>52</v>
      </c>
      <c r="D11" s="8" t="n">
        <v>0.005</v>
      </c>
      <c r="E11" s="8" t="n">
        <v>0.01</v>
      </c>
      <c r="F11" s="6" t="s">
        <v>53</v>
      </c>
      <c r="G11" s="7" t="s">
        <v>54</v>
      </c>
      <c r="H11" s="9" t="n">
        <f aca="false">$B$1*D11</f>
        <v>0.0225</v>
      </c>
      <c r="I11" s="9" t="n">
        <f aca="false">$B$1*E11</f>
        <v>0.045</v>
      </c>
      <c r="J11" s="10" t="s">
        <v>55</v>
      </c>
      <c r="K11" s="11" t="s">
        <v>56</v>
      </c>
    </row>
    <row r="12" customFormat="false" ht="16.5" hidden="false" customHeight="true" outlineLevel="0" collapsed="false">
      <c r="A12" s="6" t="s">
        <v>57</v>
      </c>
      <c r="B12" s="7" t="s">
        <v>58</v>
      </c>
      <c r="C12" s="7" t="s">
        <v>59</v>
      </c>
      <c r="D12" s="8" t="n">
        <v>1</v>
      </c>
      <c r="E12" s="8" t="n">
        <v>2</v>
      </c>
      <c r="F12" s="6" t="s">
        <v>60</v>
      </c>
      <c r="G12" s="6" t="s">
        <v>61</v>
      </c>
      <c r="H12" s="9" t="n">
        <f aca="false">$B$1*D12</f>
        <v>4.5</v>
      </c>
      <c r="I12" s="9" t="n">
        <f aca="false">$B$1*E12</f>
        <v>9</v>
      </c>
      <c r="J12" s="10" t="s">
        <v>62</v>
      </c>
      <c r="K12" s="11" t="s">
        <v>63</v>
      </c>
    </row>
    <row r="13" customFormat="false" ht="26.25" hidden="false" customHeight="true" outlineLevel="0" collapsed="false">
      <c r="A13" s="6" t="s">
        <v>64</v>
      </c>
      <c r="B13" s="7" t="s">
        <v>65</v>
      </c>
      <c r="C13" s="7" t="s">
        <v>66</v>
      </c>
      <c r="D13" s="8" t="n">
        <v>0.002</v>
      </c>
      <c r="E13" s="8" t="n">
        <v>0.005</v>
      </c>
      <c r="F13" s="6" t="s">
        <v>41</v>
      </c>
      <c r="G13" s="7" t="s">
        <v>67</v>
      </c>
      <c r="H13" s="9" t="n">
        <f aca="false">$B$1*D13</f>
        <v>0.009</v>
      </c>
      <c r="I13" s="9" t="n">
        <f aca="false">$B$1*E13</f>
        <v>0.0225</v>
      </c>
      <c r="J13" s="10" t="s">
        <v>68</v>
      </c>
      <c r="K13" s="11" t="s">
        <v>69</v>
      </c>
    </row>
    <row r="14" customFormat="false" ht="26.25" hidden="false" customHeight="true" outlineLevel="0" collapsed="false">
      <c r="A14" s="6" t="s">
        <v>70</v>
      </c>
      <c r="B14" s="7" t="s">
        <v>71</v>
      </c>
      <c r="C14" s="7" t="s">
        <v>66</v>
      </c>
      <c r="D14" s="8" t="n">
        <v>0.1</v>
      </c>
      <c r="E14" s="8" t="n">
        <v>0.4</v>
      </c>
      <c r="F14" s="6" t="s">
        <v>72</v>
      </c>
      <c r="G14" s="7" t="s">
        <v>73</v>
      </c>
      <c r="H14" s="9" t="n">
        <f aca="false">$B$1*D14</f>
        <v>0.45</v>
      </c>
      <c r="I14" s="9" t="n">
        <f aca="false">$B$1*E14</f>
        <v>1.8</v>
      </c>
      <c r="J14" s="10" t="s">
        <v>74</v>
      </c>
      <c r="K14" s="11" t="s">
        <v>75</v>
      </c>
    </row>
    <row r="15" customFormat="false" ht="39" hidden="false" customHeight="true" outlineLevel="0" collapsed="false">
      <c r="A15" s="6" t="s">
        <v>76</v>
      </c>
      <c r="B15" s="7" t="s">
        <v>77</v>
      </c>
      <c r="C15" s="7" t="s">
        <v>78</v>
      </c>
      <c r="D15" s="8" t="n">
        <v>1</v>
      </c>
      <c r="E15" s="8" t="n">
        <v>5</v>
      </c>
      <c r="F15" s="6" t="s">
        <v>79</v>
      </c>
      <c r="G15" s="7" t="s">
        <v>80</v>
      </c>
      <c r="H15" s="9" t="n">
        <f aca="false">$B$1*D15</f>
        <v>4.5</v>
      </c>
      <c r="I15" s="9" t="n">
        <f aca="false">$B$1*E15</f>
        <v>22.5</v>
      </c>
      <c r="J15" s="10" t="s">
        <v>81</v>
      </c>
      <c r="K15" s="11" t="s">
        <v>82</v>
      </c>
    </row>
    <row r="16" customFormat="false" ht="26.25" hidden="false" customHeight="true" outlineLevel="0" collapsed="false">
      <c r="A16" s="6" t="s">
        <v>83</v>
      </c>
      <c r="B16" s="7" t="s">
        <v>84</v>
      </c>
      <c r="C16" s="7" t="s">
        <v>85</v>
      </c>
      <c r="D16" s="8" t="n">
        <v>0</v>
      </c>
      <c r="E16" s="8" t="n">
        <v>0</v>
      </c>
      <c r="F16" s="7" t="s">
        <v>86</v>
      </c>
      <c r="G16" s="7" t="s">
        <v>87</v>
      </c>
      <c r="H16" s="9" t="n">
        <f aca="false">$B$1*D16</f>
        <v>0</v>
      </c>
      <c r="I16" s="9" t="n">
        <f aca="false">$B$1*E16</f>
        <v>0</v>
      </c>
      <c r="J16" s="10" t="s">
        <v>88</v>
      </c>
      <c r="K16" s="11" t="s">
        <v>89</v>
      </c>
    </row>
    <row r="17" customFormat="false" ht="52.2" hidden="false" customHeight="false" outlineLevel="0" collapsed="false">
      <c r="A17" s="12" t="s">
        <v>90</v>
      </c>
      <c r="B17" s="13" t="s">
        <v>91</v>
      </c>
      <c r="C17" s="13" t="s">
        <v>92</v>
      </c>
      <c r="D17" s="14" t="n">
        <v>0.4</v>
      </c>
      <c r="E17" s="14" t="n">
        <v>0.4</v>
      </c>
      <c r="F17" s="13" t="s">
        <v>93</v>
      </c>
      <c r="G17" s="13" t="s">
        <v>94</v>
      </c>
      <c r="H17" s="15" t="n">
        <f aca="false">$B$1*D17</f>
        <v>1.8</v>
      </c>
      <c r="I17" s="15" t="n">
        <f aca="false">$B$1*E17</f>
        <v>1.8</v>
      </c>
      <c r="J17" s="16" t="s">
        <v>95</v>
      </c>
      <c r="K17" s="1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18" t="s">
        <v>97</v>
      </c>
    </row>
    <row r="2" customFormat="false" ht="15" hidden="false" customHeight="true" outlineLevel="0" collapsed="false">
      <c r="A2" s="19"/>
    </row>
    <row r="3" customFormat="false" ht="16.5" hidden="false" customHeight="true" outlineLevel="0" collapsed="false">
      <c r="A3" s="19" t="s">
        <v>98</v>
      </c>
    </row>
    <row r="4" customFormat="false" ht="16.5" hidden="false" customHeight="true" outlineLevel="0" collapsed="false">
      <c r="A4" s="19" t="s">
        <v>99</v>
      </c>
    </row>
    <row r="5" customFormat="false" ht="16.5" hidden="false" customHeight="true" outlineLevel="0" collapsed="false">
      <c r="A5" s="19" t="s">
        <v>100</v>
      </c>
    </row>
    <row r="6" customFormat="false" ht="16.5" hidden="false" customHeight="true" outlineLevel="0" collapsed="false">
      <c r="A6" s="19" t="s">
        <v>101</v>
      </c>
    </row>
    <row r="7" customFormat="false" ht="16.5" hidden="false" customHeight="true" outlineLevel="0" collapsed="false">
      <c r="A7" s="1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2026-07-08T17:43:54Z</dcterms:created>
  <dc:creator>openpyxl</dc:creator>
  <dc:description/>
  <dc:language>en-US</dc:language>
  <cp:lastModifiedBy/>
  <dcterms:modified xsi:type="dcterms:W3CDTF">2026-07-11T14:59:04Z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